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lG\OneDrive\"/>
    </mc:Choice>
  </mc:AlternateContent>
  <bookViews>
    <workbookView xWindow="-105" yWindow="-105" windowWidth="37665" windowHeight="21825" activeTab="4"/>
  </bookViews>
  <sheets>
    <sheet name="Sheet2" sheetId="2" r:id="rId1"/>
    <sheet name="Sheet3" sheetId="3" r:id="rId2"/>
    <sheet name="Sheet4" sheetId="4" r:id="rId3"/>
    <sheet name="Sheet5" sheetId="5" r:id="rId4"/>
    <sheet name="Sheet1" sheetId="1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1" l="1"/>
  <c r="M9" i="1" l="1"/>
  <c r="M8" i="1"/>
  <c r="M7" i="1"/>
  <c r="M6" i="1"/>
  <c r="O13" i="1" l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12" i="1"/>
  <c r="M10" i="1" l="1"/>
  <c r="N11" i="1" s="1"/>
  <c r="P16" i="1" s="1"/>
  <c r="Q16" i="1" s="1"/>
  <c r="P17" i="1"/>
  <c r="Q17" i="1" s="1"/>
  <c r="P15" i="1"/>
  <c r="Q15" i="1" s="1"/>
  <c r="R16" i="1" s="1"/>
  <c r="P24" i="1"/>
  <c r="Q24" i="1" s="1"/>
  <c r="P28" i="1"/>
  <c r="Q28" i="1" s="1"/>
  <c r="P22" i="1"/>
  <c r="Q22" i="1" s="1"/>
  <c r="R17" i="1" l="1"/>
  <c r="P26" i="1"/>
  <c r="Q26" i="1" s="1"/>
  <c r="P19" i="1"/>
  <c r="Q19" i="1" s="1"/>
  <c r="P18" i="1"/>
  <c r="Q18" i="1" s="1"/>
  <c r="R19" i="1" s="1"/>
  <c r="P20" i="1"/>
  <c r="Q20" i="1" s="1"/>
  <c r="P25" i="1"/>
  <c r="Q25" i="1" s="1"/>
  <c r="R26" i="1" s="1"/>
  <c r="P14" i="1"/>
  <c r="Q14" i="1" s="1"/>
  <c r="R15" i="1" s="1"/>
  <c r="P23" i="1"/>
  <c r="Q23" i="1" s="1"/>
  <c r="R24" i="1" s="1"/>
  <c r="P21" i="1"/>
  <c r="Q21" i="1" s="1"/>
  <c r="R22" i="1" s="1"/>
  <c r="P27" i="1"/>
  <c r="Q27" i="1" s="1"/>
  <c r="R28" i="1" s="1"/>
  <c r="P12" i="1"/>
  <c r="Q12" i="1" s="1"/>
  <c r="P13" i="1"/>
  <c r="Q13" i="1" s="1"/>
  <c r="R14" i="1" s="1"/>
  <c r="R21" i="1" l="1"/>
  <c r="R18" i="1"/>
  <c r="R13" i="1"/>
  <c r="R12" i="1"/>
  <c r="R20" i="1"/>
  <c r="R23" i="1"/>
  <c r="R27" i="1"/>
  <c r="R25" i="1"/>
</calcChain>
</file>

<file path=xl/sharedStrings.xml><?xml version="1.0" encoding="utf-8"?>
<sst xmlns="http://schemas.openxmlformats.org/spreadsheetml/2006/main" count="16" uniqueCount="6">
  <si>
    <t>diff</t>
  </si>
  <si>
    <t>bins</t>
  </si>
  <si>
    <t>Bin</t>
  </si>
  <si>
    <t>More</t>
  </si>
  <si>
    <t>Frequency</t>
  </si>
  <si>
    <t>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</si>
</sst>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Sheet3!$A$2:$A$8</c:f>
              <c:strCache>
                <c:ptCount val="7"/>
                <c:pt idx="0">
                  <c:v>2.582</c:v>
                </c:pt>
                <c:pt idx="1">
                  <c:v>3.1114</c:v>
                </c:pt>
                <c:pt idx="2">
                  <c:v>3.6408</c:v>
                </c:pt>
                <c:pt idx="3">
                  <c:v>4.1702</c:v>
                </c:pt>
                <c:pt idx="4">
                  <c:v>4.6996</c:v>
                </c:pt>
                <c:pt idx="5">
                  <c:v>5.229</c:v>
                </c:pt>
                <c:pt idx="6">
                  <c:v>More</c:v>
                </c:pt>
              </c:strCache>
            </c:strRef>
          </c:cat>
          <c:val>
            <c:numRef>
              <c:f>Sheet3!$B$2:$B$8</c:f>
              <c:numCache>
                <c:formatCode>General</c:formatCode>
                <c:ptCount val="7"/>
                <c:pt idx="0">
                  <c:v>1</c:v>
                </c:pt>
                <c:pt idx="1">
                  <c:v>4</c:v>
                </c:pt>
                <c:pt idx="2">
                  <c:v>25</c:v>
                </c:pt>
                <c:pt idx="3">
                  <c:v>33</c:v>
                </c:pt>
                <c:pt idx="4">
                  <c:v>27</c:v>
                </c:pt>
                <c:pt idx="5">
                  <c:v>6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10E-43C2-9FC0-5B976B0D3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4250432"/>
        <c:axId val="774249256"/>
      </c:barChart>
      <c:catAx>
        <c:axId val="774250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</a:t>
                </a:r>
                <a:r>
                  <a:rPr lang="en-US" baseline="0"/>
                  <a:t> (nm)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74249256"/>
        <c:crosses val="autoZero"/>
        <c:auto val="1"/>
        <c:lblAlgn val="ctr"/>
        <c:lblOffset val="100"/>
        <c:noMultiLvlLbl val="0"/>
      </c:catAx>
      <c:valAx>
        <c:axId val="7742492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74250432"/>
        <c:crosses val="autoZero"/>
        <c:crossBetween val="between"/>
      </c:valAx>
      <c:spPr>
        <a:ln>
          <a:noFill/>
        </a:ln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Sheet4!$A$2:$A$8</c:f>
              <c:strCache>
                <c:ptCount val="7"/>
                <c:pt idx="0">
                  <c:v>2.35</c:v>
                </c:pt>
                <c:pt idx="1">
                  <c:v>3.032</c:v>
                </c:pt>
                <c:pt idx="2">
                  <c:v>3.714</c:v>
                </c:pt>
                <c:pt idx="3">
                  <c:v>4.396</c:v>
                </c:pt>
                <c:pt idx="4">
                  <c:v>5.078</c:v>
                </c:pt>
                <c:pt idx="5">
                  <c:v>5.76</c:v>
                </c:pt>
                <c:pt idx="6">
                  <c:v>More</c:v>
                </c:pt>
              </c:strCache>
            </c:strRef>
          </c:cat>
          <c:val>
            <c:numRef>
              <c:f>Sheet4!$B$2:$B$8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32</c:v>
                </c:pt>
                <c:pt idx="3">
                  <c:v>27</c:v>
                </c:pt>
                <c:pt idx="4">
                  <c:v>12</c:v>
                </c:pt>
                <c:pt idx="5">
                  <c:v>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631928"/>
        <c:axId val="1075630752"/>
      </c:barChart>
      <c:catAx>
        <c:axId val="1075631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5630752"/>
        <c:crosses val="autoZero"/>
        <c:auto val="1"/>
        <c:lblAlgn val="ctr"/>
        <c:lblOffset val="100"/>
        <c:noMultiLvlLbl val="0"/>
      </c:catAx>
      <c:valAx>
        <c:axId val="10756307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5631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Sheet5!$A$2:$A$8</c:f>
              <c:strCache>
                <c:ptCount val="7"/>
                <c:pt idx="0">
                  <c:v>2.35</c:v>
                </c:pt>
                <c:pt idx="1">
                  <c:v>3.032</c:v>
                </c:pt>
                <c:pt idx="2">
                  <c:v>3.714</c:v>
                </c:pt>
                <c:pt idx="3">
                  <c:v>4.396</c:v>
                </c:pt>
                <c:pt idx="4">
                  <c:v>5.078</c:v>
                </c:pt>
                <c:pt idx="5">
                  <c:v>5.76</c:v>
                </c:pt>
                <c:pt idx="6">
                  <c:v>More</c:v>
                </c:pt>
              </c:strCache>
            </c:strRef>
          </c:cat>
          <c:val>
            <c:numRef>
              <c:f>Sheet5!$B$2:$B$8</c:f>
              <c:numCache>
                <c:formatCode>General</c:formatCode>
                <c:ptCount val="7"/>
                <c:pt idx="0">
                  <c:v>1</c:v>
                </c:pt>
                <c:pt idx="1">
                  <c:v>10</c:v>
                </c:pt>
                <c:pt idx="2">
                  <c:v>32</c:v>
                </c:pt>
                <c:pt idx="3">
                  <c:v>27</c:v>
                </c:pt>
                <c:pt idx="4">
                  <c:v>12</c:v>
                </c:pt>
                <c:pt idx="5">
                  <c:v>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628008"/>
        <c:axId val="1075628792"/>
      </c:barChart>
      <c:catAx>
        <c:axId val="1075628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5628792"/>
        <c:crosses val="autoZero"/>
        <c:auto val="1"/>
        <c:lblAlgn val="ctr"/>
        <c:lblOffset val="100"/>
        <c:noMultiLvlLbl val="0"/>
      </c:catAx>
      <c:valAx>
        <c:axId val="10756287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75628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Sheet1!$P$12:$P$18</c:f>
              <c:numCache>
                <c:formatCode>0.00</c:formatCode>
                <c:ptCount val="7"/>
                <c:pt idx="0">
                  <c:v>2.35</c:v>
                </c:pt>
                <c:pt idx="1">
                  <c:v>2.7762500000000001</c:v>
                </c:pt>
                <c:pt idx="2">
                  <c:v>3.2025000000000001</c:v>
                </c:pt>
                <c:pt idx="3">
                  <c:v>3.6287500000000001</c:v>
                </c:pt>
                <c:pt idx="4">
                  <c:v>4.0549999999999997</c:v>
                </c:pt>
                <c:pt idx="5">
                  <c:v>4.4812499999999993</c:v>
                </c:pt>
                <c:pt idx="6">
                  <c:v>4.9074999999999998</c:v>
                </c:pt>
              </c:numCache>
            </c:numRef>
          </c:cat>
          <c:val>
            <c:numRef>
              <c:f>Sheet1!$R$12:$R$18</c:f>
              <c:numCache>
                <c:formatCode>General</c:formatCode>
                <c:ptCount val="7"/>
                <c:pt idx="0">
                  <c:v>1</c:v>
                </c:pt>
                <c:pt idx="1">
                  <c:v>5</c:v>
                </c:pt>
                <c:pt idx="2">
                  <c:v>14</c:v>
                </c:pt>
                <c:pt idx="3">
                  <c:v>21</c:v>
                </c:pt>
                <c:pt idx="4">
                  <c:v>18</c:v>
                </c:pt>
                <c:pt idx="5">
                  <c:v>13</c:v>
                </c:pt>
                <c:pt idx="6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1283472"/>
        <c:axId val="831284256"/>
      </c:barChart>
      <c:catAx>
        <c:axId val="83128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Width (nm)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31284256"/>
        <c:crosses val="autoZero"/>
        <c:auto val="1"/>
        <c:lblAlgn val="ctr"/>
        <c:lblOffset val="100"/>
        <c:noMultiLvlLbl val="0"/>
      </c:catAx>
      <c:valAx>
        <c:axId val="8312842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Count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3128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0</xdr:row>
      <xdr:rowOff>177800</xdr:rowOff>
    </xdr:from>
    <xdr:to>
      <xdr:col>10</xdr:col>
      <xdr:colOff>190500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11C63CC6-08E6-4DC0-8667-6CC1D07774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0</xdr:row>
      <xdr:rowOff>180975</xdr:rowOff>
    </xdr:from>
    <xdr:to>
      <xdr:col>9</xdr:col>
      <xdr:colOff>238125</xdr:colOff>
      <xdr:row>10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0</xdr:row>
      <xdr:rowOff>180975</xdr:rowOff>
    </xdr:from>
    <xdr:to>
      <xdr:col>9</xdr:col>
      <xdr:colOff>238125</xdr:colOff>
      <xdr:row>10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10</xdr:row>
      <xdr:rowOff>171450</xdr:rowOff>
    </xdr:from>
    <xdr:to>
      <xdr:col>13</xdr:col>
      <xdr:colOff>219075</xdr:colOff>
      <xdr:row>27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workbookViewId="0">
      <selection sqref="A1:B8"/>
    </sheetView>
  </sheetViews>
  <sheetFormatPr defaultRowHeight="15" x14ac:dyDescent="0.25"/>
  <sheetData>
    <row r="1" spans="1:2" x14ac:dyDescent="0.25">
      <c r="A1" s="4" t="s">
        <v>2</v>
      </c>
      <c r="B1" s="4" t="s">
        <v>4</v>
      </c>
    </row>
    <row r="2" spans="1:2" x14ac:dyDescent="0.25">
      <c r="A2" s="1">
        <v>2.5819999999999999</v>
      </c>
      <c r="B2" s="2">
        <v>1</v>
      </c>
    </row>
    <row r="3" spans="1:2" x14ac:dyDescent="0.25">
      <c r="A3" s="1">
        <v>3.1113999999999997</v>
      </c>
      <c r="B3" s="2">
        <v>4</v>
      </c>
    </row>
    <row r="4" spans="1:2" x14ac:dyDescent="0.25">
      <c r="A4" s="1">
        <v>3.6408</v>
      </c>
      <c r="B4" s="2">
        <v>25</v>
      </c>
    </row>
    <row r="5" spans="1:2" x14ac:dyDescent="0.25">
      <c r="A5" s="1">
        <v>4.1702000000000004</v>
      </c>
      <c r="B5" s="2">
        <v>33</v>
      </c>
    </row>
    <row r="6" spans="1:2" x14ac:dyDescent="0.25">
      <c r="A6" s="1">
        <v>4.6996000000000002</v>
      </c>
      <c r="B6" s="2">
        <v>27</v>
      </c>
    </row>
    <row r="7" spans="1:2" x14ac:dyDescent="0.25">
      <c r="A7" s="1">
        <v>5.2290000000000001</v>
      </c>
      <c r="B7" s="2">
        <v>6</v>
      </c>
    </row>
    <row r="8" spans="1:2" ht="15.75" thickBot="1" x14ac:dyDescent="0.3">
      <c r="A8" s="3" t="s">
        <v>3</v>
      </c>
      <c r="B8" s="3">
        <v>0</v>
      </c>
    </row>
  </sheetData>
  <sortState ref="A2:A7">
    <sortCondition ref="A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workbookViewId="0">
      <selection activeCell="J26" sqref="J26"/>
    </sheetView>
  </sheetViews>
  <sheetFormatPr defaultRowHeight="15" x14ac:dyDescent="0.25"/>
  <sheetData>
    <row r="1" spans="1:2" x14ac:dyDescent="0.25">
      <c r="A1" s="4" t="s">
        <v>2</v>
      </c>
      <c r="B1" s="4" t="s">
        <v>4</v>
      </c>
    </row>
    <row r="2" spans="1:2" x14ac:dyDescent="0.25">
      <c r="A2" s="1">
        <v>2.5819999999999999</v>
      </c>
      <c r="B2" s="2">
        <v>1</v>
      </c>
    </row>
    <row r="3" spans="1:2" x14ac:dyDescent="0.25">
      <c r="A3" s="1">
        <v>3.1113999999999997</v>
      </c>
      <c r="B3" s="2">
        <v>4</v>
      </c>
    </row>
    <row r="4" spans="1:2" x14ac:dyDescent="0.25">
      <c r="A4" s="1">
        <v>3.6408</v>
      </c>
      <c r="B4" s="2">
        <v>25</v>
      </c>
    </row>
    <row r="5" spans="1:2" x14ac:dyDescent="0.25">
      <c r="A5" s="1">
        <v>4.1702000000000004</v>
      </c>
      <c r="B5" s="2">
        <v>33</v>
      </c>
    </row>
    <row r="6" spans="1:2" x14ac:dyDescent="0.25">
      <c r="A6" s="1">
        <v>4.6996000000000002</v>
      </c>
      <c r="B6" s="2">
        <v>27</v>
      </c>
    </row>
    <row r="7" spans="1:2" x14ac:dyDescent="0.25">
      <c r="A7" s="1">
        <v>5.2290000000000001</v>
      </c>
      <c r="B7" s="2">
        <v>6</v>
      </c>
    </row>
    <row r="8" spans="1:2" ht="15.75" thickBot="1" x14ac:dyDescent="0.3">
      <c r="A8" s="3" t="s">
        <v>3</v>
      </c>
      <c r="B8" s="3">
        <v>0</v>
      </c>
    </row>
  </sheetData>
  <sortState ref="A2:A7">
    <sortCondition ref="A2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sqref="A1:B8"/>
    </sheetView>
  </sheetViews>
  <sheetFormatPr defaultRowHeight="15" x14ac:dyDescent="0.25"/>
  <sheetData>
    <row r="1" spans="1:2" x14ac:dyDescent="0.25">
      <c r="A1" s="4" t="s">
        <v>2</v>
      </c>
      <c r="B1" s="4" t="s">
        <v>4</v>
      </c>
    </row>
    <row r="2" spans="1:2" x14ac:dyDescent="0.25">
      <c r="A2" s="1">
        <v>2.35</v>
      </c>
      <c r="B2" s="2">
        <v>1</v>
      </c>
    </row>
    <row r="3" spans="1:2" x14ac:dyDescent="0.25">
      <c r="A3" s="1">
        <v>3.032</v>
      </c>
      <c r="B3" s="2">
        <v>10</v>
      </c>
    </row>
    <row r="4" spans="1:2" x14ac:dyDescent="0.25">
      <c r="A4" s="1">
        <v>3.714</v>
      </c>
      <c r="B4" s="2">
        <v>32</v>
      </c>
    </row>
    <row r="5" spans="1:2" x14ac:dyDescent="0.25">
      <c r="A5" s="1">
        <v>4.3959999999999999</v>
      </c>
      <c r="B5" s="2">
        <v>27</v>
      </c>
    </row>
    <row r="6" spans="1:2" x14ac:dyDescent="0.25">
      <c r="A6" s="1">
        <v>5.0779999999999994</v>
      </c>
      <c r="B6" s="2">
        <v>12</v>
      </c>
    </row>
    <row r="7" spans="1:2" x14ac:dyDescent="0.25">
      <c r="A7" s="1">
        <v>5.76</v>
      </c>
      <c r="B7" s="2">
        <v>6</v>
      </c>
    </row>
    <row r="8" spans="1:2" ht="15.75" thickBot="1" x14ac:dyDescent="0.3">
      <c r="A8" s="3" t="s">
        <v>3</v>
      </c>
      <c r="B8" s="3">
        <v>0</v>
      </c>
    </row>
  </sheetData>
  <sortState ref="A2:A7">
    <sortCondition ref="A2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workbookViewId="0">
      <selection activeCell="B2" sqref="B2"/>
    </sheetView>
  </sheetViews>
  <sheetFormatPr defaultRowHeight="15" x14ac:dyDescent="0.25"/>
  <sheetData>
    <row r="1" spans="1:2" x14ac:dyDescent="0.25">
      <c r="A1" s="4" t="s">
        <v>2</v>
      </c>
      <c r="B1" s="4" t="s">
        <v>4</v>
      </c>
    </row>
    <row r="2" spans="1:2" x14ac:dyDescent="0.25">
      <c r="A2" s="1">
        <v>2.35</v>
      </c>
      <c r="B2" s="2">
        <v>1</v>
      </c>
    </row>
    <row r="3" spans="1:2" x14ac:dyDescent="0.25">
      <c r="A3" s="1">
        <v>3.032</v>
      </c>
      <c r="B3" s="2">
        <v>10</v>
      </c>
    </row>
    <row r="4" spans="1:2" x14ac:dyDescent="0.25">
      <c r="A4" s="1">
        <v>3.714</v>
      </c>
      <c r="B4" s="2">
        <v>32</v>
      </c>
    </row>
    <row r="5" spans="1:2" x14ac:dyDescent="0.25">
      <c r="A5" s="1">
        <v>4.3959999999999999</v>
      </c>
      <c r="B5" s="2">
        <v>27</v>
      </c>
    </row>
    <row r="6" spans="1:2" x14ac:dyDescent="0.25">
      <c r="A6" s="1">
        <v>5.0779999999999994</v>
      </c>
      <c r="B6" s="2">
        <v>12</v>
      </c>
    </row>
    <row r="7" spans="1:2" x14ac:dyDescent="0.25">
      <c r="A7" s="1">
        <v>5.76</v>
      </c>
      <c r="B7" s="2">
        <v>6</v>
      </c>
    </row>
    <row r="8" spans="1:2" ht="15.75" thickBot="1" x14ac:dyDescent="0.3">
      <c r="A8" s="3" t="s">
        <v>3</v>
      </c>
      <c r="B8" s="3">
        <v>0</v>
      </c>
    </row>
  </sheetData>
  <sortState ref="A2:A7">
    <sortCondition ref="A2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96"/>
  <sheetViews>
    <sheetView tabSelected="1" workbookViewId="0">
      <selection activeCell="P12" sqref="P12:P28"/>
    </sheetView>
  </sheetViews>
  <sheetFormatPr defaultRowHeight="15" x14ac:dyDescent="0.25"/>
  <sheetData>
    <row r="1" spans="1:18" x14ac:dyDescent="0.25">
      <c r="A1">
        <v>1</v>
      </c>
      <c r="B1">
        <v>40388.47</v>
      </c>
      <c r="C1">
        <v>33105</v>
      </c>
      <c r="D1">
        <v>47787</v>
      </c>
      <c r="E1">
        <v>-116.57</v>
      </c>
      <c r="F1">
        <v>0</v>
      </c>
      <c r="G1">
        <v>65535</v>
      </c>
      <c r="H1">
        <v>3.72</v>
      </c>
    </row>
    <row r="2" spans="1:18" x14ac:dyDescent="0.25">
      <c r="A2">
        <v>2</v>
      </c>
      <c r="B2">
        <v>40829.75</v>
      </c>
      <c r="C2">
        <v>30855</v>
      </c>
      <c r="D2">
        <v>47577</v>
      </c>
      <c r="E2">
        <v>-116.57</v>
      </c>
      <c r="F2">
        <v>0</v>
      </c>
      <c r="G2">
        <v>65535</v>
      </c>
      <c r="H2">
        <v>3.07</v>
      </c>
    </row>
    <row r="3" spans="1:18" x14ac:dyDescent="0.25">
      <c r="A3">
        <v>3</v>
      </c>
      <c r="B3">
        <v>33519.83</v>
      </c>
      <c r="C3">
        <v>26237</v>
      </c>
      <c r="D3">
        <v>36916</v>
      </c>
      <c r="E3">
        <v>-90</v>
      </c>
      <c r="F3">
        <v>0</v>
      </c>
      <c r="G3">
        <v>65535</v>
      </c>
      <c r="H3">
        <v>2.93</v>
      </c>
    </row>
    <row r="4" spans="1:18" x14ac:dyDescent="0.25">
      <c r="A4">
        <v>4</v>
      </c>
      <c r="B4">
        <v>33083.86</v>
      </c>
      <c r="C4">
        <v>23231</v>
      </c>
      <c r="D4">
        <v>45974</v>
      </c>
      <c r="E4">
        <v>-94.4</v>
      </c>
      <c r="F4">
        <v>0</v>
      </c>
      <c r="G4">
        <v>65535</v>
      </c>
      <c r="H4">
        <v>3.47</v>
      </c>
    </row>
    <row r="5" spans="1:18" x14ac:dyDescent="0.25">
      <c r="A5">
        <v>5</v>
      </c>
      <c r="B5">
        <v>29195.46</v>
      </c>
      <c r="C5">
        <v>19006</v>
      </c>
      <c r="D5">
        <v>35827</v>
      </c>
      <c r="E5">
        <v>-105.26</v>
      </c>
      <c r="F5">
        <v>0</v>
      </c>
      <c r="G5">
        <v>65535</v>
      </c>
      <c r="H5">
        <v>3.21</v>
      </c>
    </row>
    <row r="6" spans="1:18" x14ac:dyDescent="0.25">
      <c r="A6">
        <v>6</v>
      </c>
      <c r="B6">
        <v>33026.44</v>
      </c>
      <c r="C6">
        <v>27343</v>
      </c>
      <c r="D6">
        <v>41602</v>
      </c>
      <c r="E6">
        <v>-109.65</v>
      </c>
      <c r="F6">
        <v>0</v>
      </c>
      <c r="G6">
        <v>65535</v>
      </c>
      <c r="H6">
        <v>3.98</v>
      </c>
      <c r="M6">
        <f>AVERAGE(H:H)</f>
        <v>3.7894318181818174</v>
      </c>
    </row>
    <row r="7" spans="1:18" x14ac:dyDescent="0.25">
      <c r="A7">
        <v>7</v>
      </c>
      <c r="B7">
        <v>35406</v>
      </c>
      <c r="C7">
        <v>25580</v>
      </c>
      <c r="D7">
        <v>45483</v>
      </c>
      <c r="E7">
        <v>-120.96</v>
      </c>
      <c r="F7">
        <v>0</v>
      </c>
      <c r="G7">
        <v>65535</v>
      </c>
      <c r="H7">
        <v>4.5199999999999996</v>
      </c>
      <c r="M7">
        <f>STDEV(H:H)</f>
        <v>0.75742509656533463</v>
      </c>
    </row>
    <row r="8" spans="1:18" x14ac:dyDescent="0.25">
      <c r="A8">
        <v>8</v>
      </c>
      <c r="B8">
        <v>38661</v>
      </c>
      <c r="C8">
        <v>31436</v>
      </c>
      <c r="D8">
        <v>45157</v>
      </c>
      <c r="E8">
        <v>-90</v>
      </c>
      <c r="F8">
        <v>0</v>
      </c>
      <c r="G8">
        <v>65535</v>
      </c>
      <c r="H8">
        <v>3.7</v>
      </c>
      <c r="M8">
        <f>MIN(H:H)</f>
        <v>2.35</v>
      </c>
    </row>
    <row r="9" spans="1:18" x14ac:dyDescent="0.25">
      <c r="A9">
        <v>9</v>
      </c>
      <c r="B9">
        <v>38759.599999999999</v>
      </c>
      <c r="C9">
        <v>33605</v>
      </c>
      <c r="D9">
        <v>46816</v>
      </c>
      <c r="E9">
        <v>-108.43</v>
      </c>
      <c r="F9">
        <v>0</v>
      </c>
      <c r="G9">
        <v>65535</v>
      </c>
      <c r="H9">
        <v>2.35</v>
      </c>
      <c r="M9">
        <f>MAX(H:H)</f>
        <v>5.76</v>
      </c>
    </row>
    <row r="10" spans="1:18" x14ac:dyDescent="0.25">
      <c r="A10">
        <v>10</v>
      </c>
      <c r="B10">
        <v>31831.64</v>
      </c>
      <c r="C10">
        <v>19843</v>
      </c>
      <c r="D10">
        <v>40989</v>
      </c>
      <c r="E10">
        <v>-98.75</v>
      </c>
      <c r="F10">
        <v>0</v>
      </c>
      <c r="G10">
        <v>65535</v>
      </c>
      <c r="H10">
        <v>3.53</v>
      </c>
      <c r="L10" t="s">
        <v>0</v>
      </c>
      <c r="M10">
        <f>M9-M8</f>
        <v>3.4099999999999997</v>
      </c>
    </row>
    <row r="11" spans="1:18" x14ac:dyDescent="0.25">
      <c r="A11">
        <v>11</v>
      </c>
      <c r="B11">
        <v>29081.08</v>
      </c>
      <c r="C11">
        <v>20679</v>
      </c>
      <c r="D11">
        <v>35434</v>
      </c>
      <c r="E11">
        <v>-108.43</v>
      </c>
      <c r="F11">
        <v>0</v>
      </c>
      <c r="G11">
        <v>65535</v>
      </c>
      <c r="H11">
        <v>3.33</v>
      </c>
      <c r="L11" t="s">
        <v>1</v>
      </c>
      <c r="M11">
        <v>8</v>
      </c>
      <c r="N11">
        <f>M10/M11</f>
        <v>0.42624999999999996</v>
      </c>
      <c r="P11" t="s">
        <v>1</v>
      </c>
      <c r="Q11">
        <f>COUNT(H:H)</f>
        <v>88</v>
      </c>
      <c r="R11" t="s">
        <v>5</v>
      </c>
    </row>
    <row r="12" spans="1:18" x14ac:dyDescent="0.25">
      <c r="A12">
        <v>12</v>
      </c>
      <c r="B12">
        <v>36764.31</v>
      </c>
      <c r="C12">
        <v>28442</v>
      </c>
      <c r="D12">
        <v>41776</v>
      </c>
      <c r="E12">
        <v>-108.43</v>
      </c>
      <c r="F12">
        <v>0</v>
      </c>
      <c r="G12">
        <v>65535</v>
      </c>
      <c r="H12">
        <v>3.27</v>
      </c>
      <c r="N12">
        <v>0</v>
      </c>
      <c r="O12">
        <f>IF(N12&lt;=$M$11,N12,"")</f>
        <v>0</v>
      </c>
      <c r="P12" s="5">
        <f>O12*$N$11+$M$8</f>
        <v>2.35</v>
      </c>
      <c r="Q12">
        <f>COUNTIF(H:H,"&gt;" &amp; P12)</f>
        <v>87</v>
      </c>
      <c r="R12">
        <f>Q11-Q12</f>
        <v>1</v>
      </c>
    </row>
    <row r="13" spans="1:18" x14ac:dyDescent="0.25">
      <c r="A13">
        <v>13</v>
      </c>
      <c r="B13">
        <v>37032.879999999997</v>
      </c>
      <c r="C13">
        <v>24052</v>
      </c>
      <c r="D13">
        <v>42664</v>
      </c>
      <c r="E13">
        <v>-104.93</v>
      </c>
      <c r="F13">
        <v>0</v>
      </c>
      <c r="G13">
        <v>65535</v>
      </c>
      <c r="H13">
        <v>4.21</v>
      </c>
      <c r="N13">
        <v>1</v>
      </c>
      <c r="O13">
        <f t="shared" ref="O13:O28" si="0">IF(N13&lt;=$M$11,N13,"")</f>
        <v>1</v>
      </c>
      <c r="P13" s="5">
        <f t="shared" ref="P13:P28" si="1">O13*$N$11+$M$8</f>
        <v>2.7762500000000001</v>
      </c>
      <c r="Q13">
        <f t="shared" ref="Q13:Q27" si="2">COUNTIF(H:H,"&gt;" &amp; P13)</f>
        <v>82</v>
      </c>
      <c r="R13">
        <f t="shared" ref="R13:R28" si="3">Q12-Q13</f>
        <v>5</v>
      </c>
    </row>
    <row r="14" spans="1:18" x14ac:dyDescent="0.25">
      <c r="A14">
        <v>14</v>
      </c>
      <c r="B14">
        <v>34560.14</v>
      </c>
      <c r="C14">
        <v>28176</v>
      </c>
      <c r="D14">
        <v>41706</v>
      </c>
      <c r="E14">
        <v>-112.62</v>
      </c>
      <c r="F14">
        <v>0</v>
      </c>
      <c r="G14">
        <v>65535</v>
      </c>
      <c r="H14">
        <v>3.41</v>
      </c>
      <c r="N14">
        <v>2</v>
      </c>
      <c r="O14">
        <f t="shared" si="0"/>
        <v>2</v>
      </c>
      <c r="P14" s="5">
        <f t="shared" si="1"/>
        <v>3.2025000000000001</v>
      </c>
      <c r="Q14">
        <f t="shared" si="2"/>
        <v>68</v>
      </c>
      <c r="R14">
        <f t="shared" si="3"/>
        <v>14</v>
      </c>
    </row>
    <row r="15" spans="1:18" x14ac:dyDescent="0.25">
      <c r="A15">
        <v>15</v>
      </c>
      <c r="B15">
        <v>36378</v>
      </c>
      <c r="C15">
        <v>23220</v>
      </c>
      <c r="D15">
        <v>48238</v>
      </c>
      <c r="E15">
        <v>30.26</v>
      </c>
      <c r="F15">
        <v>0</v>
      </c>
      <c r="G15">
        <v>65535</v>
      </c>
      <c r="H15">
        <v>3.79</v>
      </c>
      <c r="N15">
        <v>3</v>
      </c>
      <c r="O15">
        <f t="shared" si="0"/>
        <v>3</v>
      </c>
      <c r="P15" s="5">
        <f t="shared" si="1"/>
        <v>3.6287500000000001</v>
      </c>
      <c r="Q15">
        <f t="shared" si="2"/>
        <v>47</v>
      </c>
      <c r="R15">
        <f t="shared" si="3"/>
        <v>21</v>
      </c>
    </row>
    <row r="16" spans="1:18" x14ac:dyDescent="0.25">
      <c r="A16">
        <v>16</v>
      </c>
      <c r="B16">
        <v>35807.919999999998</v>
      </c>
      <c r="C16">
        <v>25020</v>
      </c>
      <c r="D16">
        <v>45772</v>
      </c>
      <c r="E16">
        <v>34.99</v>
      </c>
      <c r="F16">
        <v>0</v>
      </c>
      <c r="G16">
        <v>65535</v>
      </c>
      <c r="H16">
        <v>3.25</v>
      </c>
      <c r="N16">
        <v>4</v>
      </c>
      <c r="O16">
        <f t="shared" si="0"/>
        <v>4</v>
      </c>
      <c r="P16" s="5">
        <f t="shared" si="1"/>
        <v>4.0549999999999997</v>
      </c>
      <c r="Q16">
        <f t="shared" si="2"/>
        <v>29</v>
      </c>
      <c r="R16">
        <f t="shared" si="3"/>
        <v>18</v>
      </c>
    </row>
    <row r="17" spans="1:18" x14ac:dyDescent="0.25">
      <c r="A17">
        <v>17</v>
      </c>
      <c r="B17">
        <v>36367.31</v>
      </c>
      <c r="C17">
        <v>30399</v>
      </c>
      <c r="D17">
        <v>44568</v>
      </c>
      <c r="E17">
        <v>45</v>
      </c>
      <c r="F17">
        <v>0</v>
      </c>
      <c r="G17">
        <v>65535</v>
      </c>
      <c r="H17">
        <v>3.14</v>
      </c>
      <c r="N17">
        <v>5</v>
      </c>
      <c r="O17">
        <f t="shared" si="0"/>
        <v>5</v>
      </c>
      <c r="P17" s="5">
        <f t="shared" si="1"/>
        <v>4.4812499999999993</v>
      </c>
      <c r="Q17">
        <f t="shared" si="2"/>
        <v>16</v>
      </c>
      <c r="R17">
        <f t="shared" si="3"/>
        <v>13</v>
      </c>
    </row>
    <row r="18" spans="1:18" x14ac:dyDescent="0.25">
      <c r="A18">
        <v>18</v>
      </c>
      <c r="B18">
        <v>27611.17</v>
      </c>
      <c r="C18">
        <v>20561</v>
      </c>
      <c r="D18">
        <v>35395</v>
      </c>
      <c r="E18">
        <v>-135</v>
      </c>
      <c r="F18">
        <v>0</v>
      </c>
      <c r="G18">
        <v>65535</v>
      </c>
      <c r="H18">
        <v>3.11</v>
      </c>
      <c r="N18">
        <v>6</v>
      </c>
      <c r="O18">
        <f t="shared" si="0"/>
        <v>6</v>
      </c>
      <c r="P18" s="5">
        <f t="shared" si="1"/>
        <v>4.9074999999999998</v>
      </c>
      <c r="Q18">
        <f t="shared" si="2"/>
        <v>6</v>
      </c>
      <c r="R18">
        <f t="shared" si="3"/>
        <v>10</v>
      </c>
    </row>
    <row r="19" spans="1:18" x14ac:dyDescent="0.25">
      <c r="A19">
        <v>19</v>
      </c>
      <c r="B19">
        <v>37915.15</v>
      </c>
      <c r="C19">
        <v>26407</v>
      </c>
      <c r="D19">
        <v>46595</v>
      </c>
      <c r="E19">
        <v>-142.13</v>
      </c>
      <c r="F19">
        <v>0</v>
      </c>
      <c r="G19">
        <v>65535</v>
      </c>
      <c r="H19">
        <v>3.15</v>
      </c>
      <c r="N19">
        <v>7</v>
      </c>
      <c r="O19">
        <f t="shared" si="0"/>
        <v>7</v>
      </c>
      <c r="P19" s="5">
        <f t="shared" si="1"/>
        <v>5.3337500000000002</v>
      </c>
      <c r="Q19">
        <f t="shared" si="2"/>
        <v>3</v>
      </c>
      <c r="R19">
        <f t="shared" si="3"/>
        <v>3</v>
      </c>
    </row>
    <row r="20" spans="1:18" x14ac:dyDescent="0.25">
      <c r="A20">
        <v>20</v>
      </c>
      <c r="B20">
        <v>45427.54</v>
      </c>
      <c r="C20">
        <v>41233</v>
      </c>
      <c r="D20">
        <v>51662</v>
      </c>
      <c r="E20">
        <v>-99.46</v>
      </c>
      <c r="F20">
        <v>0</v>
      </c>
      <c r="G20">
        <v>65535</v>
      </c>
      <c r="H20">
        <v>3.24</v>
      </c>
      <c r="N20">
        <v>8</v>
      </c>
      <c r="O20">
        <f t="shared" si="0"/>
        <v>8</v>
      </c>
      <c r="P20" s="5">
        <f t="shared" si="1"/>
        <v>5.76</v>
      </c>
      <c r="Q20">
        <f t="shared" si="2"/>
        <v>0</v>
      </c>
      <c r="R20">
        <f t="shared" si="3"/>
        <v>3</v>
      </c>
    </row>
    <row r="21" spans="1:18" x14ac:dyDescent="0.25">
      <c r="A21">
        <v>21</v>
      </c>
      <c r="B21">
        <v>42991.54</v>
      </c>
      <c r="C21">
        <v>37861</v>
      </c>
      <c r="D21">
        <v>49087</v>
      </c>
      <c r="E21">
        <v>-94.76</v>
      </c>
      <c r="F21">
        <v>0</v>
      </c>
      <c r="G21">
        <v>65535</v>
      </c>
      <c r="H21">
        <v>3.17</v>
      </c>
      <c r="N21">
        <v>9</v>
      </c>
      <c r="O21" t="str">
        <f t="shared" si="0"/>
        <v/>
      </c>
      <c r="P21" s="5" t="e">
        <f t="shared" si="1"/>
        <v>#VALUE!</v>
      </c>
      <c r="Q21">
        <f t="shared" si="2"/>
        <v>0</v>
      </c>
      <c r="R21">
        <f t="shared" si="3"/>
        <v>0</v>
      </c>
    </row>
    <row r="22" spans="1:18" x14ac:dyDescent="0.25">
      <c r="A22">
        <v>22</v>
      </c>
      <c r="B22">
        <v>40042.639999999999</v>
      </c>
      <c r="C22">
        <v>31015</v>
      </c>
      <c r="D22">
        <v>49521</v>
      </c>
      <c r="E22">
        <v>-94.76</v>
      </c>
      <c r="F22">
        <v>0</v>
      </c>
      <c r="G22">
        <v>65535</v>
      </c>
      <c r="H22">
        <v>3.49</v>
      </c>
      <c r="N22">
        <v>10</v>
      </c>
      <c r="O22" t="str">
        <f t="shared" si="0"/>
        <v/>
      </c>
      <c r="P22" s="5" t="e">
        <f t="shared" si="1"/>
        <v>#VALUE!</v>
      </c>
      <c r="Q22">
        <f t="shared" si="2"/>
        <v>0</v>
      </c>
      <c r="R22">
        <f t="shared" si="3"/>
        <v>0</v>
      </c>
    </row>
    <row r="23" spans="1:18" x14ac:dyDescent="0.25">
      <c r="A23">
        <v>23</v>
      </c>
      <c r="B23">
        <v>45421.18</v>
      </c>
      <c r="C23">
        <v>40458</v>
      </c>
      <c r="D23">
        <v>50614</v>
      </c>
      <c r="E23">
        <v>-119.74</v>
      </c>
      <c r="F23">
        <v>0</v>
      </c>
      <c r="G23">
        <v>65535</v>
      </c>
      <c r="H23">
        <v>4.3</v>
      </c>
      <c r="N23">
        <v>11</v>
      </c>
      <c r="O23" t="str">
        <f t="shared" si="0"/>
        <v/>
      </c>
      <c r="P23" s="5" t="e">
        <f t="shared" si="1"/>
        <v>#VALUE!</v>
      </c>
      <c r="Q23">
        <f t="shared" si="2"/>
        <v>0</v>
      </c>
      <c r="R23">
        <f t="shared" si="3"/>
        <v>0</v>
      </c>
    </row>
    <row r="24" spans="1:18" x14ac:dyDescent="0.25">
      <c r="A24">
        <v>24</v>
      </c>
      <c r="B24">
        <v>44159.54</v>
      </c>
      <c r="C24">
        <v>36418</v>
      </c>
      <c r="D24">
        <v>49456</v>
      </c>
      <c r="E24">
        <v>-108.43</v>
      </c>
      <c r="F24">
        <v>0</v>
      </c>
      <c r="G24">
        <v>65535</v>
      </c>
      <c r="H24">
        <v>3.3</v>
      </c>
      <c r="N24">
        <v>12</v>
      </c>
      <c r="O24" t="str">
        <f t="shared" si="0"/>
        <v/>
      </c>
      <c r="P24" s="5" t="e">
        <f t="shared" si="1"/>
        <v>#VALUE!</v>
      </c>
      <c r="Q24">
        <f t="shared" si="2"/>
        <v>0</v>
      </c>
      <c r="R24">
        <f t="shared" si="3"/>
        <v>0</v>
      </c>
    </row>
    <row r="25" spans="1:18" x14ac:dyDescent="0.25">
      <c r="A25">
        <v>25</v>
      </c>
      <c r="B25">
        <v>31543.14</v>
      </c>
      <c r="C25">
        <v>24346</v>
      </c>
      <c r="D25">
        <v>37092</v>
      </c>
      <c r="E25">
        <v>-108.43</v>
      </c>
      <c r="F25">
        <v>0</v>
      </c>
      <c r="G25">
        <v>65535</v>
      </c>
      <c r="H25">
        <v>3.62</v>
      </c>
      <c r="N25">
        <v>13</v>
      </c>
      <c r="O25" t="str">
        <f t="shared" si="0"/>
        <v/>
      </c>
      <c r="P25" s="5" t="e">
        <f t="shared" si="1"/>
        <v>#VALUE!</v>
      </c>
      <c r="Q25">
        <f t="shared" si="2"/>
        <v>0</v>
      </c>
      <c r="R25">
        <f t="shared" si="3"/>
        <v>0</v>
      </c>
    </row>
    <row r="26" spans="1:18" x14ac:dyDescent="0.25">
      <c r="A26">
        <v>26</v>
      </c>
      <c r="B26">
        <v>30509.33</v>
      </c>
      <c r="C26">
        <v>21763</v>
      </c>
      <c r="D26">
        <v>36775</v>
      </c>
      <c r="E26">
        <v>-100.3</v>
      </c>
      <c r="F26">
        <v>0</v>
      </c>
      <c r="G26">
        <v>65535</v>
      </c>
      <c r="H26">
        <v>3.08</v>
      </c>
      <c r="N26">
        <v>14</v>
      </c>
      <c r="O26" t="str">
        <f t="shared" si="0"/>
        <v/>
      </c>
      <c r="P26" s="5" t="e">
        <f t="shared" si="1"/>
        <v>#VALUE!</v>
      </c>
      <c r="Q26">
        <f t="shared" si="2"/>
        <v>0</v>
      </c>
      <c r="R26">
        <f t="shared" si="3"/>
        <v>0</v>
      </c>
    </row>
    <row r="27" spans="1:18" x14ac:dyDescent="0.25">
      <c r="A27">
        <v>27</v>
      </c>
      <c r="B27">
        <v>35786.300000000003</v>
      </c>
      <c r="C27">
        <v>32775</v>
      </c>
      <c r="D27">
        <v>38606</v>
      </c>
      <c r="E27">
        <v>-108.43</v>
      </c>
      <c r="F27">
        <v>0</v>
      </c>
      <c r="G27">
        <v>65535</v>
      </c>
      <c r="H27">
        <v>2.44</v>
      </c>
      <c r="N27">
        <v>15</v>
      </c>
      <c r="O27" t="str">
        <f t="shared" si="0"/>
        <v/>
      </c>
      <c r="P27" s="5" t="e">
        <f t="shared" si="1"/>
        <v>#VALUE!</v>
      </c>
      <c r="Q27">
        <f t="shared" si="2"/>
        <v>0</v>
      </c>
      <c r="R27">
        <f t="shared" si="3"/>
        <v>0</v>
      </c>
    </row>
    <row r="28" spans="1:18" x14ac:dyDescent="0.25">
      <c r="A28">
        <v>28</v>
      </c>
      <c r="B28">
        <v>33499.730000000003</v>
      </c>
      <c r="C28">
        <v>28214</v>
      </c>
      <c r="D28">
        <v>40425</v>
      </c>
      <c r="E28">
        <v>-102.99</v>
      </c>
      <c r="F28">
        <v>0</v>
      </c>
      <c r="G28">
        <v>65535</v>
      </c>
      <c r="H28">
        <v>3.73</v>
      </c>
      <c r="N28">
        <v>16</v>
      </c>
      <c r="O28" t="str">
        <f t="shared" si="0"/>
        <v/>
      </c>
      <c r="P28" s="5" t="e">
        <f t="shared" si="1"/>
        <v>#VALUE!</v>
      </c>
      <c r="Q28">
        <f>COUNTIF(H:H,"&gt;" &amp; P28)</f>
        <v>0</v>
      </c>
      <c r="R28">
        <f t="shared" si="3"/>
        <v>0</v>
      </c>
    </row>
    <row r="29" spans="1:18" x14ac:dyDescent="0.25">
      <c r="A29">
        <v>29</v>
      </c>
      <c r="B29">
        <v>35713.85</v>
      </c>
      <c r="C29">
        <v>23860</v>
      </c>
      <c r="D29">
        <v>44213</v>
      </c>
      <c r="E29">
        <v>-114.44</v>
      </c>
      <c r="F29">
        <v>0</v>
      </c>
      <c r="G29">
        <v>65535</v>
      </c>
      <c r="H29">
        <v>3.32</v>
      </c>
    </row>
    <row r="30" spans="1:18" x14ac:dyDescent="0.25">
      <c r="A30">
        <v>30</v>
      </c>
      <c r="B30">
        <v>32530</v>
      </c>
      <c r="C30">
        <v>27751</v>
      </c>
      <c r="D30">
        <v>37126</v>
      </c>
      <c r="E30">
        <v>-108.43</v>
      </c>
      <c r="F30">
        <v>0</v>
      </c>
      <c r="G30">
        <v>65535</v>
      </c>
      <c r="H30">
        <v>2.64</v>
      </c>
    </row>
    <row r="31" spans="1:18" x14ac:dyDescent="0.25">
      <c r="A31">
        <v>31</v>
      </c>
      <c r="B31">
        <v>32929.300000000003</v>
      </c>
      <c r="C31">
        <v>31056</v>
      </c>
      <c r="D31">
        <v>33755</v>
      </c>
      <c r="E31">
        <v>-108.43</v>
      </c>
      <c r="F31">
        <v>0</v>
      </c>
      <c r="G31">
        <v>65535</v>
      </c>
      <c r="H31">
        <v>2.56</v>
      </c>
    </row>
    <row r="32" spans="1:18" x14ac:dyDescent="0.25">
      <c r="A32">
        <v>32</v>
      </c>
      <c r="B32">
        <v>37810.31</v>
      </c>
      <c r="C32">
        <v>32941</v>
      </c>
      <c r="D32">
        <v>43284</v>
      </c>
      <c r="E32">
        <v>-126.87</v>
      </c>
      <c r="F32">
        <v>0</v>
      </c>
      <c r="G32">
        <v>65535</v>
      </c>
      <c r="H32">
        <v>4.1100000000000003</v>
      </c>
    </row>
    <row r="33" spans="1:8" x14ac:dyDescent="0.25">
      <c r="A33">
        <v>33</v>
      </c>
      <c r="B33">
        <v>38848.21</v>
      </c>
      <c r="C33">
        <v>27566</v>
      </c>
      <c r="D33">
        <v>43421</v>
      </c>
      <c r="E33">
        <v>-112.62</v>
      </c>
      <c r="F33">
        <v>0</v>
      </c>
      <c r="G33">
        <v>65535</v>
      </c>
      <c r="H33">
        <v>3.6</v>
      </c>
    </row>
    <row r="34" spans="1:8" x14ac:dyDescent="0.25">
      <c r="A34">
        <v>34</v>
      </c>
      <c r="B34">
        <v>33920.93</v>
      </c>
      <c r="C34">
        <v>31436</v>
      </c>
      <c r="D34">
        <v>36800</v>
      </c>
      <c r="E34">
        <v>-118.61</v>
      </c>
      <c r="F34">
        <v>0</v>
      </c>
      <c r="G34">
        <v>65535</v>
      </c>
      <c r="H34">
        <v>3.51</v>
      </c>
    </row>
    <row r="35" spans="1:8" x14ac:dyDescent="0.25">
      <c r="A35">
        <v>35</v>
      </c>
      <c r="B35">
        <v>34742.400000000001</v>
      </c>
      <c r="C35">
        <v>31298</v>
      </c>
      <c r="D35">
        <v>40485</v>
      </c>
      <c r="E35">
        <v>-116.57</v>
      </c>
      <c r="F35">
        <v>0</v>
      </c>
      <c r="G35">
        <v>65535</v>
      </c>
      <c r="H35">
        <v>2.42</v>
      </c>
    </row>
    <row r="36" spans="1:8" x14ac:dyDescent="0.25">
      <c r="A36">
        <v>36</v>
      </c>
      <c r="B36">
        <v>39804.69</v>
      </c>
      <c r="C36">
        <v>29390</v>
      </c>
      <c r="D36">
        <v>47551</v>
      </c>
      <c r="E36">
        <v>-120.96</v>
      </c>
      <c r="F36">
        <v>0</v>
      </c>
      <c r="G36">
        <v>65535</v>
      </c>
      <c r="H36">
        <v>3.27</v>
      </c>
    </row>
    <row r="37" spans="1:8" x14ac:dyDescent="0.25">
      <c r="A37">
        <v>37</v>
      </c>
      <c r="B37">
        <v>39366.080000000002</v>
      </c>
      <c r="C37">
        <v>32948</v>
      </c>
      <c r="D37">
        <v>46650</v>
      </c>
      <c r="E37">
        <v>-131.19</v>
      </c>
      <c r="F37">
        <v>0</v>
      </c>
      <c r="G37">
        <v>65535</v>
      </c>
      <c r="H37">
        <v>2.99</v>
      </c>
    </row>
    <row r="38" spans="1:8" x14ac:dyDescent="0.25">
      <c r="A38">
        <v>38</v>
      </c>
      <c r="B38">
        <v>39556.199999999997</v>
      </c>
      <c r="C38">
        <v>32123</v>
      </c>
      <c r="D38">
        <v>44959</v>
      </c>
      <c r="E38">
        <v>45</v>
      </c>
      <c r="F38">
        <v>0</v>
      </c>
      <c r="G38">
        <v>65535</v>
      </c>
      <c r="H38">
        <v>3.89</v>
      </c>
    </row>
    <row r="39" spans="1:8" x14ac:dyDescent="0.25">
      <c r="A39">
        <v>39</v>
      </c>
      <c r="B39">
        <v>45307.4</v>
      </c>
      <c r="C39">
        <v>36804</v>
      </c>
      <c r="D39">
        <v>53947</v>
      </c>
      <c r="E39">
        <v>-130.6</v>
      </c>
      <c r="F39">
        <v>0</v>
      </c>
      <c r="G39">
        <v>65535</v>
      </c>
      <c r="H39">
        <v>3.9</v>
      </c>
    </row>
    <row r="40" spans="1:8" x14ac:dyDescent="0.25">
      <c r="A40">
        <v>40</v>
      </c>
      <c r="B40">
        <v>45300.639999999999</v>
      </c>
      <c r="C40">
        <v>35307</v>
      </c>
      <c r="D40">
        <v>53784</v>
      </c>
      <c r="E40">
        <v>-126.87</v>
      </c>
      <c r="F40">
        <v>0</v>
      </c>
      <c r="G40">
        <v>65535</v>
      </c>
      <c r="H40">
        <v>4.29</v>
      </c>
    </row>
    <row r="41" spans="1:8" x14ac:dyDescent="0.25">
      <c r="A41">
        <v>41</v>
      </c>
      <c r="B41">
        <v>46671.45</v>
      </c>
      <c r="C41">
        <v>32370</v>
      </c>
      <c r="D41">
        <v>55340</v>
      </c>
      <c r="E41">
        <v>-130.6</v>
      </c>
      <c r="F41">
        <v>0</v>
      </c>
      <c r="G41">
        <v>65535</v>
      </c>
      <c r="H41">
        <v>4.1900000000000004</v>
      </c>
    </row>
    <row r="42" spans="1:8" x14ac:dyDescent="0.25">
      <c r="A42">
        <v>42</v>
      </c>
      <c r="B42">
        <v>44677.5</v>
      </c>
      <c r="C42">
        <v>31884</v>
      </c>
      <c r="D42">
        <v>54783</v>
      </c>
      <c r="E42">
        <v>-135</v>
      </c>
      <c r="F42">
        <v>0</v>
      </c>
      <c r="G42">
        <v>65535</v>
      </c>
      <c r="H42">
        <v>3.87</v>
      </c>
    </row>
    <row r="43" spans="1:8" x14ac:dyDescent="0.25">
      <c r="A43">
        <v>43</v>
      </c>
      <c r="B43">
        <v>44738.92</v>
      </c>
      <c r="C43">
        <v>31531</v>
      </c>
      <c r="D43">
        <v>53727</v>
      </c>
      <c r="E43">
        <v>-135</v>
      </c>
      <c r="F43">
        <v>0</v>
      </c>
      <c r="G43">
        <v>65535</v>
      </c>
      <c r="H43">
        <v>4.67</v>
      </c>
    </row>
    <row r="44" spans="1:8" x14ac:dyDescent="0.25">
      <c r="A44">
        <v>44</v>
      </c>
      <c r="B44">
        <v>49305.62</v>
      </c>
      <c r="C44">
        <v>43106</v>
      </c>
      <c r="D44">
        <v>54929</v>
      </c>
      <c r="E44">
        <v>-129.81</v>
      </c>
      <c r="F44">
        <v>0</v>
      </c>
      <c r="G44">
        <v>65535</v>
      </c>
      <c r="H44">
        <v>3.23</v>
      </c>
    </row>
    <row r="45" spans="1:8" x14ac:dyDescent="0.25">
      <c r="A45">
        <v>45</v>
      </c>
      <c r="B45">
        <v>42432.27</v>
      </c>
      <c r="C45">
        <v>32516</v>
      </c>
      <c r="D45">
        <v>51089</v>
      </c>
      <c r="E45">
        <v>-126.87</v>
      </c>
      <c r="F45">
        <v>0</v>
      </c>
      <c r="G45">
        <v>65535</v>
      </c>
      <c r="H45">
        <v>4.28</v>
      </c>
    </row>
    <row r="46" spans="1:8" x14ac:dyDescent="0.25">
      <c r="A46">
        <v>46</v>
      </c>
      <c r="B46">
        <v>43303</v>
      </c>
      <c r="C46">
        <v>40006</v>
      </c>
      <c r="D46">
        <v>46303</v>
      </c>
      <c r="E46">
        <v>-125.54</v>
      </c>
      <c r="F46">
        <v>0</v>
      </c>
      <c r="G46">
        <v>65535</v>
      </c>
      <c r="H46">
        <v>3.96</v>
      </c>
    </row>
    <row r="47" spans="1:8" x14ac:dyDescent="0.25">
      <c r="A47">
        <v>47</v>
      </c>
      <c r="B47">
        <v>40944.1</v>
      </c>
      <c r="C47">
        <v>38623</v>
      </c>
      <c r="D47">
        <v>45399</v>
      </c>
      <c r="E47">
        <v>-125.54</v>
      </c>
      <c r="F47">
        <v>0</v>
      </c>
      <c r="G47">
        <v>65535</v>
      </c>
      <c r="H47">
        <v>3.85</v>
      </c>
    </row>
    <row r="48" spans="1:8" x14ac:dyDescent="0.25">
      <c r="A48">
        <v>48</v>
      </c>
      <c r="B48">
        <v>38831.43</v>
      </c>
      <c r="C48">
        <v>34689</v>
      </c>
      <c r="D48">
        <v>42602</v>
      </c>
      <c r="E48">
        <v>-123.69</v>
      </c>
      <c r="F48">
        <v>0</v>
      </c>
      <c r="G48">
        <v>65535</v>
      </c>
      <c r="H48">
        <v>2.79</v>
      </c>
    </row>
    <row r="49" spans="1:8" x14ac:dyDescent="0.25">
      <c r="A49">
        <v>49</v>
      </c>
      <c r="B49">
        <v>44015.43</v>
      </c>
      <c r="C49">
        <v>36761</v>
      </c>
      <c r="D49">
        <v>47567</v>
      </c>
      <c r="E49">
        <v>-141.34</v>
      </c>
      <c r="F49">
        <v>0</v>
      </c>
      <c r="G49">
        <v>65535</v>
      </c>
      <c r="H49">
        <v>2.79</v>
      </c>
    </row>
    <row r="50" spans="1:8" x14ac:dyDescent="0.25">
      <c r="A50">
        <v>50</v>
      </c>
      <c r="B50">
        <v>35769.25</v>
      </c>
      <c r="C50">
        <v>31164</v>
      </c>
      <c r="D50">
        <v>38868</v>
      </c>
      <c r="E50">
        <v>-135</v>
      </c>
      <c r="F50">
        <v>0</v>
      </c>
      <c r="G50">
        <v>65535</v>
      </c>
      <c r="H50">
        <v>3.08</v>
      </c>
    </row>
    <row r="51" spans="1:8" x14ac:dyDescent="0.25">
      <c r="A51">
        <v>51</v>
      </c>
      <c r="B51">
        <v>37208.25</v>
      </c>
      <c r="C51">
        <v>34070</v>
      </c>
      <c r="D51">
        <v>39005</v>
      </c>
      <c r="E51">
        <v>-141.34</v>
      </c>
      <c r="F51">
        <v>0</v>
      </c>
      <c r="G51">
        <v>65535</v>
      </c>
      <c r="H51">
        <v>3.04</v>
      </c>
    </row>
    <row r="52" spans="1:8" x14ac:dyDescent="0.25">
      <c r="A52">
        <v>52</v>
      </c>
      <c r="B52">
        <v>37841.42</v>
      </c>
      <c r="C52">
        <v>25057</v>
      </c>
      <c r="D52">
        <v>45810</v>
      </c>
      <c r="E52">
        <v>-48.81</v>
      </c>
      <c r="F52">
        <v>0</v>
      </c>
      <c r="G52">
        <v>65535</v>
      </c>
      <c r="H52">
        <v>4.8</v>
      </c>
    </row>
    <row r="53" spans="1:8" x14ac:dyDescent="0.25">
      <c r="A53">
        <v>53</v>
      </c>
      <c r="B53">
        <v>42928.9</v>
      </c>
      <c r="C53">
        <v>36571</v>
      </c>
      <c r="D53">
        <v>50422</v>
      </c>
      <c r="E53">
        <v>-54.46</v>
      </c>
      <c r="F53">
        <v>0</v>
      </c>
      <c r="G53">
        <v>65535</v>
      </c>
      <c r="H53">
        <v>3.9</v>
      </c>
    </row>
    <row r="54" spans="1:8" x14ac:dyDescent="0.25">
      <c r="A54">
        <v>54</v>
      </c>
      <c r="B54">
        <v>37451.440000000002</v>
      </c>
      <c r="C54">
        <v>33125</v>
      </c>
      <c r="D54">
        <v>45398</v>
      </c>
      <c r="E54">
        <v>-50.19</v>
      </c>
      <c r="F54">
        <v>0</v>
      </c>
      <c r="G54">
        <v>65535</v>
      </c>
      <c r="H54">
        <v>3.38</v>
      </c>
    </row>
    <row r="55" spans="1:8" x14ac:dyDescent="0.25">
      <c r="A55">
        <v>55</v>
      </c>
      <c r="B55">
        <v>36900</v>
      </c>
      <c r="C55">
        <v>26360</v>
      </c>
      <c r="D55">
        <v>43546</v>
      </c>
      <c r="E55">
        <v>-45</v>
      </c>
      <c r="F55">
        <v>0</v>
      </c>
      <c r="G55">
        <v>65535</v>
      </c>
      <c r="H55">
        <v>4.37</v>
      </c>
    </row>
    <row r="56" spans="1:8" x14ac:dyDescent="0.25">
      <c r="A56">
        <v>56</v>
      </c>
      <c r="B56">
        <v>36394.559999999998</v>
      </c>
      <c r="C56">
        <v>31016</v>
      </c>
      <c r="D56">
        <v>41375</v>
      </c>
      <c r="E56">
        <v>-45</v>
      </c>
      <c r="F56">
        <v>0</v>
      </c>
      <c r="G56">
        <v>65535</v>
      </c>
      <c r="H56">
        <v>3.54</v>
      </c>
    </row>
    <row r="57" spans="1:8" x14ac:dyDescent="0.25">
      <c r="A57">
        <v>57</v>
      </c>
      <c r="B57">
        <v>40455.910000000003</v>
      </c>
      <c r="C57">
        <v>29319</v>
      </c>
      <c r="D57">
        <v>48293</v>
      </c>
      <c r="E57">
        <v>-48.81</v>
      </c>
      <c r="F57">
        <v>0</v>
      </c>
      <c r="G57">
        <v>65535</v>
      </c>
      <c r="H57">
        <v>4.3899999999999997</v>
      </c>
    </row>
    <row r="58" spans="1:8" x14ac:dyDescent="0.25">
      <c r="A58">
        <v>58</v>
      </c>
      <c r="B58">
        <v>37249.5</v>
      </c>
      <c r="C58">
        <v>25085</v>
      </c>
      <c r="D58">
        <v>48567</v>
      </c>
      <c r="E58">
        <v>-54.46</v>
      </c>
      <c r="F58">
        <v>0</v>
      </c>
      <c r="G58">
        <v>65535</v>
      </c>
      <c r="H58">
        <v>3.96</v>
      </c>
    </row>
    <row r="59" spans="1:8" x14ac:dyDescent="0.25">
      <c r="A59">
        <v>59</v>
      </c>
      <c r="B59">
        <v>41822.5</v>
      </c>
      <c r="C59">
        <v>28551</v>
      </c>
      <c r="D59">
        <v>50283</v>
      </c>
      <c r="E59">
        <v>-116.57</v>
      </c>
      <c r="F59">
        <v>0</v>
      </c>
      <c r="G59">
        <v>65535</v>
      </c>
      <c r="H59">
        <v>4.63</v>
      </c>
    </row>
    <row r="60" spans="1:8" x14ac:dyDescent="0.25">
      <c r="A60">
        <v>60</v>
      </c>
      <c r="B60">
        <v>40466</v>
      </c>
      <c r="C60">
        <v>32388</v>
      </c>
      <c r="D60">
        <v>48190</v>
      </c>
      <c r="E60">
        <v>-126.87</v>
      </c>
      <c r="F60">
        <v>0</v>
      </c>
      <c r="G60">
        <v>65535</v>
      </c>
      <c r="H60">
        <v>4.41</v>
      </c>
    </row>
    <row r="61" spans="1:8" x14ac:dyDescent="0.25">
      <c r="A61">
        <v>61</v>
      </c>
      <c r="B61">
        <v>43551.1</v>
      </c>
      <c r="C61">
        <v>35661</v>
      </c>
      <c r="D61">
        <v>47545</v>
      </c>
      <c r="E61">
        <v>-126.87</v>
      </c>
      <c r="F61">
        <v>0</v>
      </c>
      <c r="G61">
        <v>65535</v>
      </c>
      <c r="H61">
        <v>4.01</v>
      </c>
    </row>
    <row r="62" spans="1:8" x14ac:dyDescent="0.25">
      <c r="A62">
        <v>62</v>
      </c>
      <c r="B62">
        <v>43690.69</v>
      </c>
      <c r="C62">
        <v>28591</v>
      </c>
      <c r="D62">
        <v>54369</v>
      </c>
      <c r="E62">
        <v>-114.44</v>
      </c>
      <c r="F62">
        <v>0</v>
      </c>
      <c r="G62">
        <v>65535</v>
      </c>
      <c r="H62">
        <v>5.08</v>
      </c>
    </row>
    <row r="63" spans="1:8" x14ac:dyDescent="0.25">
      <c r="A63">
        <v>63</v>
      </c>
      <c r="B63">
        <v>38749.449999999997</v>
      </c>
      <c r="C63">
        <v>31337</v>
      </c>
      <c r="D63">
        <v>47314</v>
      </c>
      <c r="E63">
        <v>60.95</v>
      </c>
      <c r="F63">
        <v>0</v>
      </c>
      <c r="G63">
        <v>65535</v>
      </c>
      <c r="H63">
        <v>4.43</v>
      </c>
    </row>
    <row r="64" spans="1:8" x14ac:dyDescent="0.25">
      <c r="A64">
        <v>64</v>
      </c>
      <c r="B64">
        <v>37207.54</v>
      </c>
      <c r="C64">
        <v>26406</v>
      </c>
      <c r="D64">
        <v>46989</v>
      </c>
      <c r="E64">
        <v>-124.99</v>
      </c>
      <c r="F64">
        <v>0</v>
      </c>
      <c r="G64">
        <v>65535</v>
      </c>
      <c r="H64">
        <v>5.29</v>
      </c>
    </row>
    <row r="65" spans="1:8" x14ac:dyDescent="0.25">
      <c r="A65">
        <v>65</v>
      </c>
      <c r="B65">
        <v>33030</v>
      </c>
      <c r="C65">
        <v>26908</v>
      </c>
      <c r="D65">
        <v>38118</v>
      </c>
      <c r="E65">
        <v>-123.69</v>
      </c>
      <c r="F65">
        <v>0</v>
      </c>
      <c r="G65">
        <v>65535</v>
      </c>
      <c r="H65">
        <v>4.8099999999999996</v>
      </c>
    </row>
    <row r="66" spans="1:8" x14ac:dyDescent="0.25">
      <c r="A66">
        <v>66</v>
      </c>
      <c r="B66">
        <v>38526.449999999997</v>
      </c>
      <c r="C66">
        <v>24598</v>
      </c>
      <c r="D66">
        <v>49963</v>
      </c>
      <c r="E66">
        <v>-40.6</v>
      </c>
      <c r="F66">
        <v>0</v>
      </c>
      <c r="G66">
        <v>65535</v>
      </c>
      <c r="H66">
        <v>4.1900000000000004</v>
      </c>
    </row>
    <row r="67" spans="1:8" x14ac:dyDescent="0.25">
      <c r="A67">
        <v>67</v>
      </c>
      <c r="B67">
        <v>39426</v>
      </c>
      <c r="C67">
        <v>25805</v>
      </c>
      <c r="D67">
        <v>48264</v>
      </c>
      <c r="E67">
        <v>-41.63</v>
      </c>
      <c r="F67">
        <v>0</v>
      </c>
      <c r="G67">
        <v>65535</v>
      </c>
      <c r="H67">
        <v>5.24</v>
      </c>
    </row>
    <row r="68" spans="1:8" x14ac:dyDescent="0.25">
      <c r="A68">
        <v>68</v>
      </c>
      <c r="B68">
        <v>29929.31</v>
      </c>
      <c r="C68">
        <v>16136</v>
      </c>
      <c r="D68">
        <v>37255</v>
      </c>
      <c r="E68">
        <v>-48.37</v>
      </c>
      <c r="F68">
        <v>0</v>
      </c>
      <c r="G68">
        <v>65535</v>
      </c>
      <c r="H68">
        <v>5.36</v>
      </c>
    </row>
    <row r="69" spans="1:8" x14ac:dyDescent="0.25">
      <c r="A69">
        <v>69</v>
      </c>
      <c r="B69">
        <v>32662</v>
      </c>
      <c r="C69">
        <v>25068</v>
      </c>
      <c r="D69">
        <v>39658</v>
      </c>
      <c r="E69">
        <v>-48.01</v>
      </c>
      <c r="F69">
        <v>0</v>
      </c>
      <c r="G69">
        <v>65535</v>
      </c>
      <c r="H69">
        <v>5.74</v>
      </c>
    </row>
    <row r="70" spans="1:8" x14ac:dyDescent="0.25">
      <c r="A70">
        <v>70</v>
      </c>
      <c r="B70">
        <v>39137.910000000003</v>
      </c>
      <c r="C70">
        <v>34825</v>
      </c>
      <c r="D70">
        <v>46543</v>
      </c>
      <c r="E70">
        <v>-60.95</v>
      </c>
      <c r="F70">
        <v>0</v>
      </c>
      <c r="G70">
        <v>65535</v>
      </c>
      <c r="H70">
        <v>4.3499999999999996</v>
      </c>
    </row>
    <row r="71" spans="1:8" x14ac:dyDescent="0.25">
      <c r="A71">
        <v>71</v>
      </c>
      <c r="B71">
        <v>44440.56</v>
      </c>
      <c r="C71">
        <v>34802</v>
      </c>
      <c r="D71">
        <v>50083</v>
      </c>
      <c r="E71">
        <v>-60.26</v>
      </c>
      <c r="F71">
        <v>0</v>
      </c>
      <c r="G71">
        <v>65535</v>
      </c>
      <c r="H71">
        <v>3.4</v>
      </c>
    </row>
    <row r="72" spans="1:8" x14ac:dyDescent="0.25">
      <c r="A72">
        <v>72</v>
      </c>
      <c r="B72">
        <v>42970.7</v>
      </c>
      <c r="C72">
        <v>23999</v>
      </c>
      <c r="D72">
        <v>60197</v>
      </c>
      <c r="E72">
        <v>-49.4</v>
      </c>
      <c r="F72">
        <v>0</v>
      </c>
      <c r="G72">
        <v>65535</v>
      </c>
      <c r="H72">
        <v>4.0199999999999996</v>
      </c>
    </row>
    <row r="73" spans="1:8" x14ac:dyDescent="0.25">
      <c r="A73">
        <v>73</v>
      </c>
      <c r="B73">
        <v>37913.29</v>
      </c>
      <c r="C73">
        <v>33757</v>
      </c>
      <c r="D73">
        <v>42388</v>
      </c>
      <c r="E73">
        <v>-51.34</v>
      </c>
      <c r="F73">
        <v>0</v>
      </c>
      <c r="G73">
        <v>65535</v>
      </c>
      <c r="H73">
        <v>5.76</v>
      </c>
    </row>
    <row r="74" spans="1:8" x14ac:dyDescent="0.25">
      <c r="A74">
        <v>74</v>
      </c>
      <c r="B74">
        <v>35942.75</v>
      </c>
      <c r="C74">
        <v>29230</v>
      </c>
      <c r="D74">
        <v>40919</v>
      </c>
      <c r="E74">
        <v>-41.19</v>
      </c>
      <c r="F74">
        <v>0</v>
      </c>
      <c r="G74">
        <v>65535</v>
      </c>
      <c r="H74">
        <v>4.8899999999999997</v>
      </c>
    </row>
    <row r="75" spans="1:8" x14ac:dyDescent="0.25">
      <c r="A75">
        <v>75</v>
      </c>
      <c r="B75">
        <v>38116.17</v>
      </c>
      <c r="C75">
        <v>29464</v>
      </c>
      <c r="D75">
        <v>45236</v>
      </c>
      <c r="E75">
        <v>-48.81</v>
      </c>
      <c r="F75">
        <v>0</v>
      </c>
      <c r="G75">
        <v>65535</v>
      </c>
      <c r="H75">
        <v>4.83</v>
      </c>
    </row>
    <row r="76" spans="1:8" x14ac:dyDescent="0.25">
      <c r="A76">
        <v>76</v>
      </c>
      <c r="B76">
        <v>33420.25</v>
      </c>
      <c r="C76">
        <v>24854</v>
      </c>
      <c r="D76">
        <v>40077</v>
      </c>
      <c r="E76">
        <v>-109.98</v>
      </c>
      <c r="F76">
        <v>0</v>
      </c>
      <c r="G76">
        <v>65535</v>
      </c>
      <c r="H76">
        <v>4.82</v>
      </c>
    </row>
    <row r="77" spans="1:8" x14ac:dyDescent="0.25">
      <c r="A77">
        <v>77</v>
      </c>
      <c r="B77">
        <v>50485.89</v>
      </c>
      <c r="C77">
        <v>38171</v>
      </c>
      <c r="D77">
        <v>59165</v>
      </c>
      <c r="E77">
        <v>-50.19</v>
      </c>
      <c r="F77">
        <v>0</v>
      </c>
      <c r="G77">
        <v>65535</v>
      </c>
      <c r="H77">
        <v>3.32</v>
      </c>
    </row>
    <row r="78" spans="1:8" x14ac:dyDescent="0.25">
      <c r="A78">
        <v>78</v>
      </c>
      <c r="B78">
        <v>40234.5</v>
      </c>
      <c r="C78">
        <v>27125</v>
      </c>
      <c r="D78">
        <v>46844</v>
      </c>
      <c r="E78">
        <v>-45</v>
      </c>
      <c r="F78">
        <v>0</v>
      </c>
      <c r="G78">
        <v>65535</v>
      </c>
      <c r="H78">
        <v>3.73</v>
      </c>
    </row>
    <row r="79" spans="1:8" x14ac:dyDescent="0.25">
      <c r="A79">
        <v>79</v>
      </c>
      <c r="B79">
        <v>35295.56</v>
      </c>
      <c r="C79">
        <v>30964</v>
      </c>
      <c r="D79">
        <v>40644</v>
      </c>
      <c r="E79">
        <v>-60.26</v>
      </c>
      <c r="F79">
        <v>0</v>
      </c>
      <c r="G79">
        <v>65535</v>
      </c>
      <c r="H79">
        <v>3.61</v>
      </c>
    </row>
    <row r="80" spans="1:8" x14ac:dyDescent="0.25">
      <c r="A80">
        <v>80</v>
      </c>
      <c r="B80">
        <v>45150.1</v>
      </c>
      <c r="C80">
        <v>37864</v>
      </c>
      <c r="D80">
        <v>48723</v>
      </c>
      <c r="E80">
        <v>-83.66</v>
      </c>
      <c r="F80">
        <v>0</v>
      </c>
      <c r="G80">
        <v>65535</v>
      </c>
      <c r="H80">
        <v>3.88</v>
      </c>
    </row>
    <row r="81" spans="1:8" x14ac:dyDescent="0.25">
      <c r="A81">
        <v>81</v>
      </c>
      <c r="B81">
        <v>38957.25</v>
      </c>
      <c r="C81">
        <v>30741</v>
      </c>
      <c r="D81">
        <v>46070</v>
      </c>
      <c r="E81">
        <v>-111.8</v>
      </c>
      <c r="F81">
        <v>0</v>
      </c>
      <c r="G81">
        <v>65535</v>
      </c>
      <c r="H81">
        <v>4.5999999999999996</v>
      </c>
    </row>
    <row r="82" spans="1:8" x14ac:dyDescent="0.25">
      <c r="A82">
        <v>82</v>
      </c>
      <c r="B82">
        <v>39785.300000000003</v>
      </c>
      <c r="C82">
        <v>36228</v>
      </c>
      <c r="D82">
        <v>46452</v>
      </c>
      <c r="E82">
        <v>-116.57</v>
      </c>
      <c r="F82">
        <v>0</v>
      </c>
      <c r="G82">
        <v>65535</v>
      </c>
      <c r="H82">
        <v>3.87</v>
      </c>
    </row>
    <row r="83" spans="1:8" x14ac:dyDescent="0.25">
      <c r="A83">
        <v>83</v>
      </c>
      <c r="B83">
        <v>38040.6</v>
      </c>
      <c r="C83">
        <v>29580</v>
      </c>
      <c r="D83">
        <v>44228</v>
      </c>
      <c r="E83">
        <v>-122.01</v>
      </c>
      <c r="F83">
        <v>0</v>
      </c>
      <c r="G83">
        <v>65535</v>
      </c>
      <c r="H83">
        <v>4.08</v>
      </c>
    </row>
    <row r="84" spans="1:8" x14ac:dyDescent="0.25">
      <c r="A84">
        <v>84</v>
      </c>
      <c r="B84">
        <v>43154.9</v>
      </c>
      <c r="C84">
        <v>36002</v>
      </c>
      <c r="D84">
        <v>52402</v>
      </c>
      <c r="E84">
        <v>-116.57</v>
      </c>
      <c r="F84">
        <v>0</v>
      </c>
      <c r="G84">
        <v>65535</v>
      </c>
      <c r="H84">
        <v>3.7</v>
      </c>
    </row>
    <row r="85" spans="1:8" x14ac:dyDescent="0.25">
      <c r="A85">
        <v>85</v>
      </c>
      <c r="B85">
        <v>29791.83</v>
      </c>
      <c r="C85">
        <v>23180</v>
      </c>
      <c r="D85">
        <v>36013</v>
      </c>
      <c r="E85">
        <v>-63.43</v>
      </c>
      <c r="F85">
        <v>0</v>
      </c>
      <c r="G85">
        <v>65535</v>
      </c>
      <c r="H85">
        <v>3.06</v>
      </c>
    </row>
    <row r="86" spans="1:8" x14ac:dyDescent="0.25">
      <c r="A86">
        <v>86</v>
      </c>
      <c r="B86">
        <v>28011.33</v>
      </c>
      <c r="C86">
        <v>24792</v>
      </c>
      <c r="D86">
        <v>31652</v>
      </c>
      <c r="E86">
        <v>90</v>
      </c>
      <c r="F86">
        <v>0</v>
      </c>
      <c r="G86">
        <v>65535</v>
      </c>
    </row>
    <row r="87" spans="1:8" x14ac:dyDescent="0.25">
      <c r="A87">
        <v>87</v>
      </c>
      <c r="B87">
        <v>30855.72</v>
      </c>
      <c r="C87">
        <v>24649</v>
      </c>
      <c r="D87">
        <v>37966</v>
      </c>
      <c r="E87">
        <v>-60.26</v>
      </c>
      <c r="F87">
        <v>0</v>
      </c>
      <c r="G87">
        <v>65535</v>
      </c>
      <c r="H87">
        <v>4.51</v>
      </c>
    </row>
    <row r="88" spans="1:8" x14ac:dyDescent="0.25">
      <c r="A88">
        <v>88</v>
      </c>
      <c r="B88">
        <v>34279.67</v>
      </c>
      <c r="C88">
        <v>26766</v>
      </c>
      <c r="D88">
        <v>40073</v>
      </c>
      <c r="E88">
        <v>-60.95</v>
      </c>
      <c r="F88">
        <v>0</v>
      </c>
      <c r="G88">
        <v>65535</v>
      </c>
      <c r="H88">
        <v>2.98</v>
      </c>
    </row>
    <row r="89" spans="1:8" x14ac:dyDescent="0.25">
      <c r="A89">
        <v>89</v>
      </c>
      <c r="B89">
        <v>31319.360000000001</v>
      </c>
      <c r="C89">
        <v>25507</v>
      </c>
      <c r="D89">
        <v>35879</v>
      </c>
      <c r="E89">
        <v>-60.95</v>
      </c>
      <c r="F89">
        <v>0</v>
      </c>
      <c r="G89">
        <v>65535</v>
      </c>
      <c r="H89">
        <v>2.77</v>
      </c>
    </row>
    <row r="90" spans="1:8" x14ac:dyDescent="0.25">
      <c r="A90">
        <v>94</v>
      </c>
      <c r="B90">
        <v>1.026</v>
      </c>
      <c r="C90">
        <v>39177.468999999997</v>
      </c>
      <c r="D90">
        <v>29881.5</v>
      </c>
      <c r="E90">
        <v>45002.913999999997</v>
      </c>
      <c r="F90">
        <v>4.399</v>
      </c>
      <c r="G90">
        <v>3.512</v>
      </c>
    </row>
    <row r="91" spans="1:8" x14ac:dyDescent="0.25">
      <c r="A91">
        <v>95</v>
      </c>
      <c r="B91">
        <v>1.319</v>
      </c>
      <c r="C91">
        <v>35640.114999999998</v>
      </c>
      <c r="D91">
        <v>20801.833999999999</v>
      </c>
      <c r="E91">
        <v>45481.972999999998</v>
      </c>
      <c r="F91">
        <v>3.3660000000000001</v>
      </c>
      <c r="G91">
        <v>4.5359999999999996</v>
      </c>
    </row>
    <row r="92" spans="1:8" x14ac:dyDescent="0.25">
      <c r="A92">
        <v>96</v>
      </c>
      <c r="B92">
        <v>1.319</v>
      </c>
      <c r="C92">
        <v>43263.93</v>
      </c>
      <c r="D92">
        <v>24810.833999999999</v>
      </c>
      <c r="E92">
        <v>59145.508000000002</v>
      </c>
      <c r="F92">
        <v>3.3660000000000001</v>
      </c>
      <c r="G92">
        <v>4.6929999999999996</v>
      </c>
    </row>
    <row r="93" spans="1:8" x14ac:dyDescent="0.25">
      <c r="A93">
        <v>97</v>
      </c>
      <c r="B93">
        <v>1.1719999999999999</v>
      </c>
      <c r="C93">
        <v>38403.156999999999</v>
      </c>
      <c r="D93">
        <v>28929.978999999999</v>
      </c>
      <c r="E93">
        <v>46173.538999999997</v>
      </c>
      <c r="F93">
        <v>-3.8140000000000001</v>
      </c>
      <c r="G93">
        <v>4.0759999999999996</v>
      </c>
    </row>
    <row r="94" spans="1:8" x14ac:dyDescent="0.25">
      <c r="A94">
        <v>98</v>
      </c>
      <c r="B94">
        <v>1.099</v>
      </c>
      <c r="C94">
        <v>32701.651999999998</v>
      </c>
      <c r="D94">
        <v>26449.375</v>
      </c>
      <c r="E94">
        <v>38717.707000000002</v>
      </c>
      <c r="F94">
        <v>17.103000000000002</v>
      </c>
      <c r="G94">
        <v>3.8370000000000002</v>
      </c>
    </row>
    <row r="95" spans="1:8" x14ac:dyDescent="0.25">
      <c r="A95">
        <v>99</v>
      </c>
      <c r="B95">
        <v>1.026</v>
      </c>
      <c r="C95">
        <v>40619.152999999998</v>
      </c>
      <c r="D95">
        <v>28201.25</v>
      </c>
      <c r="E95">
        <v>45304.637000000002</v>
      </c>
      <c r="F95">
        <v>-116.565</v>
      </c>
      <c r="G95">
        <v>3.5670000000000002</v>
      </c>
    </row>
    <row r="96" spans="1:8" x14ac:dyDescent="0.25">
      <c r="A96">
        <v>100</v>
      </c>
      <c r="B96">
        <v>1.026</v>
      </c>
      <c r="C96">
        <v>31893.105</v>
      </c>
      <c r="D96">
        <v>23802.687999999998</v>
      </c>
      <c r="E96">
        <v>40513.453000000001</v>
      </c>
      <c r="F96">
        <v>-118.61</v>
      </c>
      <c r="G96">
        <v>3.4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Sheet3</vt:lpstr>
      <vt:lpstr>Sheet4</vt:lpstr>
      <vt:lpstr>Sheet5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devilG</dc:creator>
  <cp:lastModifiedBy>DevilG</cp:lastModifiedBy>
  <dcterms:created xsi:type="dcterms:W3CDTF">2020-10-20T01:18:21Z</dcterms:created>
  <dcterms:modified xsi:type="dcterms:W3CDTF">2020-10-26T19:26:01Z</dcterms:modified>
</cp:coreProperties>
</file>